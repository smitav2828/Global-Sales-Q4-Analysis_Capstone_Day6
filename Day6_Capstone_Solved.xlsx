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Anudip\Downloads\"/>
    </mc:Choice>
  </mc:AlternateContent>
  <xr:revisionPtr revIDLastSave="0" documentId="8_{D83FE356-3D03-4F82-830C-386335A8F9E7}" xr6:coauthVersionLast="37" xr6:coauthVersionMax="37" xr10:uidLastSave="{00000000-0000-0000-0000-000000000000}"/>
  <bookViews>
    <workbookView xWindow="0" yWindow="0" windowWidth="19200" windowHeight="6825" xr2:uid="{9DA7F200-1B3A-4BEC-AEDF-A0C3802D85C4}"/>
  </bookViews>
  <sheets>
    <sheet name="Sheet1" sheetId="1" r:id="rId1"/>
    <sheet name="Sheet2" sheetId="2" r:id="rId2"/>
  </sheets>
  <definedNames>
    <definedName name="NativeTimeline_OrderDate">#N/A</definedName>
    <definedName name="Slicer_SalesChannel">#N/A</definedName>
  </definedNames>
  <calcPr calcId="179021"/>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<sst xmlns="http://schemas.openxmlformats.org/spreadsheetml/2006/main" count="189" uniqueCount="43">
  <si>
    <t>OrderDate</t>
  </si>
  <si>
    <t>Region</t>
  </si>
  <si>
    <t>Country</t>
  </si>
  <si>
    <t>ProductCategory</t>
  </si>
  <si>
    <t>SubProduct</t>
  </si>
  <si>
    <t>SalesChannel</t>
  </si>
  <si>
    <t>Revenue</t>
  </si>
  <si>
    <t>Cost</t>
  </si>
  <si>
    <t>Profit</t>
  </si>
  <si>
    <t>North America</t>
  </si>
  <si>
    <t>USA</t>
  </si>
  <si>
    <t>Electronics</t>
  </si>
  <si>
    <t>Smartphone</t>
  </si>
  <si>
    <t>Online</t>
  </si>
  <si>
    <t>Europe</t>
  </si>
  <si>
    <t>UK</t>
  </si>
  <si>
    <t>Home</t>
  </si>
  <si>
    <t>Office Chair</t>
  </si>
  <si>
    <t>Offline</t>
  </si>
  <si>
    <t>Asia</t>
  </si>
  <si>
    <t>Japan</t>
  </si>
  <si>
    <t>Laptop</t>
  </si>
  <si>
    <t>Clothing</t>
  </si>
  <si>
    <t>T-Shirt</t>
  </si>
  <si>
    <t>Germany</t>
  </si>
  <si>
    <t>Tablet</t>
  </si>
  <si>
    <t>Canada</t>
  </si>
  <si>
    <t>Desk Lamp</t>
  </si>
  <si>
    <t>South Korea</t>
  </si>
  <si>
    <t>France</t>
  </si>
  <si>
    <t>Jeans</t>
  </si>
  <si>
    <t>Sofa</t>
  </si>
  <si>
    <t>Headphones</t>
  </si>
  <si>
    <t>Jacket</t>
  </si>
  <si>
    <t>China</t>
  </si>
  <si>
    <t>Row Labels</t>
  </si>
  <si>
    <t>Grand Total</t>
  </si>
  <si>
    <t>Sum of Revenue</t>
  </si>
  <si>
    <t>Oct</t>
  </si>
  <si>
    <t>Nov</t>
  </si>
  <si>
    <t>Dec</t>
  </si>
  <si>
    <t>Sum of Profit</t>
  </si>
  <si>
    <t>Sum of Profit_Margin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</si>
</sst>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xf>
    <xf numFmtId="14" fontId="0" fillId="0" borderId="0" xfId="0" applyNumberFormat="1" applyAlignment="1">
      <alignment horizontal="center"/>
    </xf>
    <xf numFmtId="0" fontId="0" fillId="2" borderId="0" xfId="0" applyFill="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14" fontId="0" fillId="0" borderId="1" xfId="0" applyNumberFormat="1" applyBorder="1" applyAlignment="1">
      <alignment horizontal="left"/>
    </xf>
    <xf numFmtId="10" fontId="0" fillId="0" borderId="1" xfId="0" applyNumberFormat="1" applyBorder="1"/>
  </cellXfs>
  <cellStyles count="1">
    <cellStyle name="Normal" xfId="0" builtinId="0"/>
  </cellStyles>
  <dxfs count="3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[Day6_Capstone_Solved.xlsx]Sheet2!PivotTable2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Country</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Sheet2!$A$4:$A$12</c:f>
              <c:strCache>
                <c:ptCount val="8"/>
                <c:pt idx="0">
                  <c:v>Canada</c:v>
                </c:pt>
                <c:pt idx="1">
                  <c:v>China</c:v>
                </c:pt>
                <c:pt idx="2">
                  <c:v>France</c:v>
                </c:pt>
                <c:pt idx="3">
                  <c:v>Germany</c:v>
                </c:pt>
                <c:pt idx="4">
                  <c:v>Japan</c:v>
                </c:pt>
                <c:pt idx="5">
                  <c:v>South Korea</c:v>
                </c:pt>
                <c:pt idx="6">
                  <c:v>UK</c:v>
                </c:pt>
                <c:pt idx="7">
                  <c:v>USA</c:v>
                </c:pt>
              </c:strCache>
            </c:strRef>
          </c:cat>
          <c:val>
            <c:numRef>
              <c:f>Sheet2!$B$4:$B$12</c:f>
              <c:numCache>
                <c:formatCode>General</c:formatCode>
                <c:ptCount val="8"/>
                <c:pt idx="0">
                  <c:v>600</c:v>
                </c:pt>
                <c:pt idx="1">
                  <c:v>120</c:v>
                </c:pt>
                <c:pt idx="2">
                  <c:v>350</c:v>
                </c:pt>
                <c:pt idx="3">
                  <c:v>150</c:v>
                </c:pt>
                <c:pt idx="4">
                  <c:v>25</c:v>
                </c:pt>
                <c:pt idx="5">
                  <c:v>2650</c:v>
                </c:pt>
                <c:pt idx="6">
                  <c:v>125</c:v>
                </c:pt>
                <c:pt idx="7">
                  <c:v>6400</c:v>
                </c:pt>
              </c:numCache>
            </c:numRef>
          </c:val>
          <c:extLst>
            <c:ext xmlns:c16="http://schemas.microsoft.com/office/drawing/2014/chart" uri="{C3380CC4-5D6E-409C-BE32-E72D297353CC}">
              <c16:uniqueId val="{00000000-8980-44F1-BCF5-7B3A3E172382}"/>
            </c:ext>
          </c:extLst>
        </c:ser>
        <c:dLbls>
          <c:dLblPos val="outEnd"/>
          <c:showLegendKey val="0"/>
          <c:showVal val="1"/>
          <c:showCatName val="0"/>
          <c:showSerName val="0"/>
          <c:showPercent val="0"/>
          <c:showBubbleSize val="0"/>
        </c:dLbls>
        <c:gapWidth val="219"/>
        <c:overlap val="-27"/>
        <c:axId val="743936992"/>
        <c:axId val="761322432"/>
      </c:barChart>
      <c:catAx>
        <c:axId val="74393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22432"/>
        <c:crosses val="autoZero"/>
        <c:auto val="1"/>
        <c:lblAlgn val="ctr"/>
        <c:lblOffset val="100"/>
        <c:noMultiLvlLbl val="0"/>
      </c:catAx>
      <c:valAx>
        <c:axId val="76132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369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[Day6_Capstone_Solved.xlsx]Sheet2!PivotTable3</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 Profit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trendline>
            <c:spPr>
              <a:ln w="9525" cap="rnd">
                <a:solidFill>
                  <a:schemeClr val="accent1"/>
                </a:solidFill>
              </a:ln>
              <a:effectLst/>
            </c:spPr>
            <c:trendlineType val="linear"/>
            <c:dispRSqr val="0"/>
            <c:dispEq val="0"/>
          </c:trendline>
          <c:cat>
            <c:strRef>
              <c:f>Sheet2!$D$4:$D$7</c:f>
              <c:strCache>
                <c:ptCount val="3"/>
                <c:pt idx="0">
                  <c:v>Oct</c:v>
                </c:pt>
                <c:pt idx="1">
                  <c:v>Nov</c:v>
                </c:pt>
                <c:pt idx="2">
                  <c:v>Dec</c:v>
                </c:pt>
              </c:strCache>
            </c:strRef>
          </c:cat>
          <c:val>
            <c:numRef>
              <c:f>Sheet2!$E$4:$E$7</c:f>
              <c:numCache>
                <c:formatCode>General</c:formatCode>
                <c:ptCount val="3"/>
                <c:pt idx="0">
                  <c:v>430</c:v>
                </c:pt>
                <c:pt idx="1">
                  <c:v>280</c:v>
                </c:pt>
                <c:pt idx="2">
                  <c:v>320</c:v>
                </c:pt>
              </c:numCache>
            </c:numRef>
          </c:val>
          <c:smooth val="0"/>
          <c:extLst>
            <c:ext xmlns:c16="http://schemas.microsoft.com/office/drawing/2014/chart" uri="{C3380CC4-5D6E-409C-BE32-E72D297353CC}">
              <c16:uniqueId val="{00000000-07A8-4D65-9746-E0E8F3F74A37}"/>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64942784"/>
        <c:axId val="810457296"/>
      </c:lineChart>
      <c:catAx>
        <c:axId val="4649427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10457296"/>
        <c:crosses val="autoZero"/>
        <c:auto val="1"/>
        <c:lblAlgn val="ctr"/>
        <c:lblOffset val="100"/>
        <c:noMultiLvlLbl val="0"/>
      </c:catAx>
      <c:valAx>
        <c:axId val="81045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649427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[Day6_Capstone_Solved.xlsx]Sheet2!PivotTable4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Margin</a:t>
            </a:r>
            <a:endParaRPr lang="en-US"/>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E8-4E98-A93C-FAFB494B6E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E8-4E98-A93C-FAFB494B6E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E8-4E98-A93C-FAFB494B6E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E8-4E98-A93C-FAFB494B6E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E8-4E98-A93C-FAFB494B6E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Sheet2!$G$4:$G$9</c:f>
              <c:strCache>
                <c:ptCount val="5"/>
                <c:pt idx="0">
                  <c:v>Headphones</c:v>
                </c:pt>
                <c:pt idx="1">
                  <c:v>Jacket</c:v>
                </c:pt>
                <c:pt idx="2">
                  <c:v>Jeans</c:v>
                </c:pt>
                <c:pt idx="3">
                  <c:v>Office Chair</c:v>
                </c:pt>
                <c:pt idx="4">
                  <c:v>T-Shirt</c:v>
                </c:pt>
              </c:strCache>
            </c:strRef>
          </c:cat>
          <c:val>
            <c:numRef>
              <c:f>Sheet2!$H$4:$H$9</c:f>
              <c:numCache>
                <c:formatCode>0.00%</c:formatCode>
                <c:ptCount val="5"/>
                <c:pt idx="0">
                  <c:v>0.2</c:v>
                </c:pt>
                <c:pt idx="1">
                  <c:v>0.25</c:v>
                </c:pt>
                <c:pt idx="2">
                  <c:v>0.375</c:v>
                </c:pt>
                <c:pt idx="3">
                  <c:v>0.14285714285714285</c:v>
                </c:pt>
                <c:pt idx="4">
                  <c:v>0.2</c:v>
                </c:pt>
              </c:numCache>
            </c:numRef>
          </c:val>
          <c:extLst>
            <c:ext xmlns:c16="http://schemas.microsoft.com/office/drawing/2014/chart" uri="{C3380CC4-5D6E-409C-BE32-E72D297353CC}">
              <c16:uniqueId val="{00000000-1577-4EC7-BACA-F4460C2D4C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17</xdr:col>
      <xdr:colOff>361950</xdr:colOff>
      <xdr:row>9</xdr:row>
      <xdr:rowOff>38100</xdr:rowOff>
    </xdr:to>
    <mc:AlternateContent xmlns:mc="http://schemas.openxmlformats.org/markup-compatibility/2006" xmlns:tsle="http://schemas.microsoft.com/office/drawing/2012/timeslicer">
      <mc:Choice Requires="tsle">
        <xdr:graphicFrame macro="">
          <xdr:nvGraphicFramePr>
            <xdr:cNvPr id="2" name="OrderDate">
              <a:extLst>
                <a:ext uri="{FF2B5EF4-FFF2-40B4-BE49-F238E27FC236}">
                  <a16:creationId xmlns:a16="http://schemas.microsoft.com/office/drawing/2014/main" id="{25377A58-8BEC-4D5E-A331-DDB9CF50D8AC}"/>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7677150" y="381000"/>
              <a:ext cx="5238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581024</xdr:colOff>
      <xdr:row>10</xdr:row>
      <xdr:rowOff>57150</xdr:rowOff>
    </xdr:from>
    <xdr:to>
      <xdr:col>14</xdr:col>
      <xdr:colOff>219074</xdr:colOff>
      <xdr:row>17</xdr:row>
      <xdr:rowOff>104775</xdr:rowOff>
    </xdr:to>
    <mc:AlternateContent xmlns:mc="http://schemas.openxmlformats.org/markup-compatibility/2006" xmlns:a14="http://schemas.microsoft.com/office/drawing/2010/main">
      <mc:Choice Requires="a14">
        <xdr:graphicFrame macro="">
          <xdr:nvGraphicFramePr>
            <xdr:cNvPr id="3" name="SalesChannel">
              <a:extLst>
                <a:ext uri="{FF2B5EF4-FFF2-40B4-BE49-F238E27FC236}">
                  <a16:creationId xmlns:a16="http://schemas.microsoft.com/office/drawing/2014/main" id="{BB2E45D6-17CC-4364-9481-10DDD9E33F08}"/>
                </a:ext>
              </a:extLst>
            </xdr:cNvPr>
            <xdr:cNvGraphicFramePr/>
          </xdr:nvGraphicFramePr>
          <xdr:xfrm>
            <a:off x="0" y="0"/>
            <a:ext cx="0" cy="0"/>
          </xdr:xfrm>
          <a:graphic>
            <a:graphicData uri="http://schemas.microsoft.com/office/drawing/2010/slicer">
              <sle:slicer xmlns:sle="http://schemas.microsoft.com/office/drawing/2010/slicer" name="SalesChannel"/>
            </a:graphicData>
          </a:graphic>
        </xdr:graphicFrame>
      </mc:Choice>
      <mc:Fallback xmlns="">
        <xdr:sp macro="" textlink="">
          <xdr:nvSpPr>
            <xdr:cNvPr id="0" name=""/>
            <xdr:cNvSpPr>
              <a:spLocks noTextEdit="1"/>
            </xdr:cNvSpPr>
          </xdr:nvSpPr>
          <xdr:spPr>
            <a:xfrm>
              <a:off x="5429249" y="1962150"/>
              <a:ext cx="5514975"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18</xdr:row>
      <xdr:rowOff>52387</xdr:rowOff>
    </xdr:from>
    <xdr:to>
      <xdr:col>5</xdr:col>
      <xdr:colOff>333375</xdr:colOff>
      <xdr:row>32</xdr:row>
      <xdr:rowOff>128587</xdr:rowOff>
    </xdr:to>
    <xdr:graphicFrame macro="">
      <xdr:nvGraphicFramePr>
        <xdr:cNvPr id="4" name="Chart 3">
          <a:extLst>
            <a:ext uri="{FF2B5EF4-FFF2-40B4-BE49-F238E27FC236}">
              <a16:creationId xmlns:a16="http://schemas.microsoft.com/office/drawing/2014/main" id="{8C472F54-D7A5-48DD-A7DE-BA222A813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385762</xdr:colOff>
      <xdr:row>18</xdr:row>
      <xdr:rowOff>33337</xdr:rowOff>
    </xdr:from>
    <xdr:to>
      <xdr:col>11</xdr:col>
      <xdr:colOff>447675</xdr:colOff>
      <xdr:row>32</xdr:row>
      <xdr:rowOff>109537</xdr:rowOff>
    </xdr:to>
    <xdr:graphicFrame macro="">
      <xdr:nvGraphicFramePr>
        <xdr:cNvPr id="5" name="Chart 4">
          <a:extLst>
            <a:ext uri="{FF2B5EF4-FFF2-40B4-BE49-F238E27FC236}">
              <a16:creationId xmlns:a16="http://schemas.microsoft.com/office/drawing/2014/main" id="{D95E58D2-4EBF-43F2-9ED8-4A2033026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542925</xdr:colOff>
      <xdr:row>18</xdr:row>
      <xdr:rowOff>52387</xdr:rowOff>
    </xdr:from>
    <xdr:to>
      <xdr:col>19</xdr:col>
      <xdr:colOff>238125</xdr:colOff>
      <xdr:row>32</xdr:row>
      <xdr:rowOff>128587</xdr:rowOff>
    </xdr:to>
    <xdr:graphicFrame macro="">
      <xdr:nvGraphicFramePr>
        <xdr:cNvPr id="6" name="Chart 5">
          <a:extLst>
            <a:ext uri="{FF2B5EF4-FFF2-40B4-BE49-F238E27FC236}">
              <a16:creationId xmlns:a16="http://schemas.microsoft.com/office/drawing/2014/main" id="{06AACFF9-A3CF-4072-B91C-8E6CA7779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000.682581365741" createdVersion="6" refreshedVersion="6" minRefreshableVersion="3" recordCount="31" xr:uid="{752F4A6D-89DB-430F-983B-10786AED66CD}">
  <cacheSource type="worksheet">
    <worksheetSource name="Table2"/>
  </cacheSource>
  <cacheFields count="10">
    <cacheField name="OrderDate" numFmtId="14">
      <sharedItems containsSemiMixedTypes="0" containsNonDate="0" containsDate="1" containsString="0" minDate="2023-01-15T00:00:00" maxDate="2023-12-29T00:00:00" count="31">
        <d v="2023-01-15T00:00:00"/>
        <d v="2023-01-20T00:00:00"/>
        <d v="2023-02-10T00:00:00"/>
        <d v="2023-02-25T00:00:00"/>
        <d v="2023-03-05T00:00:00"/>
        <d v="2023-03-15T00:00:00"/>
        <d v="2023-04-10T00:00:00"/>
        <d v="2023-04-22T00:00:00"/>
        <d v="2023-05-05T00:00:00"/>
        <d v="2023-05-18T00:00:00"/>
        <d v="2023-06-12T00:00:00"/>
        <d v="2023-06-30T00:00:00"/>
        <d v="2023-07-05T00:00:00"/>
        <d v="2023-07-20T00:00:00"/>
        <d v="2023-08-15T00:00:00"/>
        <d v="2023-08-25T00:00:00"/>
        <d v="2023-09-01T00:00:00"/>
        <d v="2023-09-10T00:00:00"/>
        <d v="2023-10-05T00:00:00"/>
        <d v="2023-10-15T00:00:00"/>
        <d v="2023-10-25T00:00:00"/>
        <d v="2023-11-01T00:00:00"/>
        <d v="2023-11-10T00:00:00"/>
        <d v="2023-11-20T00:00:00"/>
        <d v="2023-12-01T00:00:00"/>
        <d v="2023-12-05T00:00:00"/>
        <d v="2023-12-10T00:00:00"/>
        <d v="2023-12-15T00:00:00"/>
        <d v="2023-12-20T00:00:00"/>
        <d v="2023-12-24T00:00:00"/>
        <d v="2023-12-28T00:00:00"/>
      </sharedItems>
      <fieldGroup base="0">
        <rangePr groupBy="months" startDate="2023-01-15T00:00:00" endDate="2023-12-29T00:00:00"/>
        <groupItems count="14">
          <s v="&lt;1/15/2023"/>
          <s v="Jan"/>
          <s v="Feb"/>
          <s v="Mar"/>
          <s v="Apr"/>
          <s v="May"/>
          <s v="Jun"/>
          <s v="Jul"/>
          <s v="Aug"/>
          <s v="Sep"/>
          <s v="Oct"/>
          <s v="Nov"/>
          <s v="Dec"/>
          <s v="&gt;12/29/2023"/>
        </groupItems>
      </fieldGroup>
    </cacheField>
    <cacheField name="Region" numFmtId="0">
      <sharedItems/>
    </cacheField>
    <cacheField name="Country" numFmtId="0">
      <sharedItems count="8">
        <s v="USA"/>
        <s v="UK"/>
        <s v="Japan"/>
        <s v="Germany"/>
        <s v="Canada"/>
        <s v="South Korea"/>
        <s v="France"/>
        <s v="China"/>
      </sharedItems>
    </cacheField>
    <cacheField name="ProductCategory" numFmtId="0">
      <sharedItems/>
    </cacheField>
    <cacheField name="SubProduct" numFmtId="0">
      <sharedItems count="10">
        <s v="Smartphone"/>
        <s v="Office Chair"/>
        <s v="Laptop"/>
        <s v="T-Shirt"/>
        <s v="Tablet"/>
        <s v="Desk Lamp"/>
        <s v="Jeans"/>
        <s v="Sofa"/>
        <s v="Headphones"/>
        <s v="Jacket"/>
      </sharedItems>
    </cacheField>
    <cacheField name="SalesChannel" numFmtId="0">
      <sharedItems count="2">
        <s v="Online"/>
        <s v="Offline"/>
      </sharedItems>
    </cacheField>
    <cacheField name="Revenue" numFmtId="0">
      <sharedItems containsSemiMixedTypes="0" containsString="0" containsNumber="1" containsInteger="1" minValue="25" maxValue="2500"/>
    </cacheField>
    <cacheField name="Cost" numFmtId="0">
      <sharedItems containsSemiMixedTypes="0" containsString="0" containsNumber="1" containsInteger="1" minValue="5" maxValue="2400"/>
    </cacheField>
    <cacheField name="Profit" numFmtId="0">
      <sharedItems containsSemiMixedTypes="0" containsString="0" containsNumber="1" containsInteger="1" minValue="5" maxValue="600"/>
    </cacheField>
    <cacheField name="Profit_Margin" numFmtId="0" formula="Profit/Revenue" databaseField="0"/>
  </cacheFields>
  <extLst>
    <ext xmlns:x14="http://schemas.microsoft.com/office/spreadsheetml/2009/9/main" uri="{725AE2AE-9491-48be-B2B4-4EB974FC3084}">
      <x14:pivotCacheDefinition pivotCacheId="208301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s v="North America"/>
    <x v="0"/>
    <s v="Electronics"/>
    <x v="0"/>
    <x v="0"/>
    <n v="1200"/>
    <n v="800"/>
    <n v="400"/>
  </r>
  <r>
    <x v="1"/>
    <s v="Europe"/>
    <x v="1"/>
    <s v="Home"/>
    <x v="1"/>
    <x v="1"/>
    <n v="350"/>
    <n v="150"/>
    <n v="200"/>
  </r>
  <r>
    <x v="2"/>
    <s v="Asia"/>
    <x v="2"/>
    <s v="Electronics"/>
    <x v="2"/>
    <x v="0"/>
    <n v="2500"/>
    <n v="2000"/>
    <n v="500"/>
  </r>
  <r>
    <x v="3"/>
    <s v="North America"/>
    <x v="0"/>
    <s v="Clothing"/>
    <x v="3"/>
    <x v="0"/>
    <n v="25"/>
    <n v="5"/>
    <n v="20"/>
  </r>
  <r>
    <x v="4"/>
    <s v="Europe"/>
    <x v="3"/>
    <s v="Electronics"/>
    <x v="4"/>
    <x v="1"/>
    <n v="600"/>
    <n v="400"/>
    <n v="200"/>
  </r>
  <r>
    <x v="5"/>
    <s v="North America"/>
    <x v="4"/>
    <s v="Home"/>
    <x v="5"/>
    <x v="0"/>
    <n v="45"/>
    <n v="15"/>
    <n v="30"/>
  </r>
  <r>
    <x v="6"/>
    <s v="Asia"/>
    <x v="5"/>
    <s v="Electronics"/>
    <x v="0"/>
    <x v="0"/>
    <n v="1200"/>
    <n v="850"/>
    <n v="350"/>
  </r>
  <r>
    <x v="7"/>
    <s v="Europe"/>
    <x v="6"/>
    <s v="Clothing"/>
    <x v="6"/>
    <x v="1"/>
    <n v="80"/>
    <n v="30"/>
    <n v="50"/>
  </r>
  <r>
    <x v="8"/>
    <s v="North America"/>
    <x v="0"/>
    <s v="Electronics"/>
    <x v="2"/>
    <x v="1"/>
    <n v="2500"/>
    <n v="2100"/>
    <n v="400"/>
  </r>
  <r>
    <x v="9"/>
    <s v="Asia"/>
    <x v="2"/>
    <s v="Home"/>
    <x v="7"/>
    <x v="0"/>
    <n v="1500"/>
    <n v="900"/>
    <n v="600"/>
  </r>
  <r>
    <x v="10"/>
    <s v="Europe"/>
    <x v="1"/>
    <s v="Electronics"/>
    <x v="8"/>
    <x v="0"/>
    <n v="150"/>
    <n v="50"/>
    <n v="100"/>
  </r>
  <r>
    <x v="11"/>
    <s v="North America"/>
    <x v="0"/>
    <s v="Clothing"/>
    <x v="9"/>
    <x v="1"/>
    <n v="120"/>
    <n v="60"/>
    <n v="60"/>
  </r>
  <r>
    <x v="12"/>
    <s v="Asia"/>
    <x v="7"/>
    <s v="Electronics"/>
    <x v="0"/>
    <x v="0"/>
    <n v="1200"/>
    <n v="800"/>
    <n v="400"/>
  </r>
  <r>
    <x v="13"/>
    <s v="Europe"/>
    <x v="3"/>
    <s v="Home"/>
    <x v="1"/>
    <x v="0"/>
    <n v="350"/>
    <n v="160"/>
    <n v="190"/>
  </r>
  <r>
    <x v="14"/>
    <s v="North America"/>
    <x v="0"/>
    <s v="Electronics"/>
    <x v="2"/>
    <x v="0"/>
    <n v="2500"/>
    <n v="2000"/>
    <n v="500"/>
  </r>
  <r>
    <x v="15"/>
    <s v="North America"/>
    <x v="4"/>
    <s v="Clothing"/>
    <x v="3"/>
    <x v="1"/>
    <n v="25"/>
    <n v="8"/>
    <n v="17"/>
  </r>
  <r>
    <x v="16"/>
    <s v="Europe"/>
    <x v="6"/>
    <s v="Electronics"/>
    <x v="4"/>
    <x v="0"/>
    <n v="600"/>
    <n v="420"/>
    <n v="180"/>
  </r>
  <r>
    <x v="17"/>
    <s v="Asia"/>
    <x v="2"/>
    <s v="Home"/>
    <x v="5"/>
    <x v="1"/>
    <n v="45"/>
    <n v="20"/>
    <n v="25"/>
  </r>
  <r>
    <x v="18"/>
    <s v="North America"/>
    <x v="0"/>
    <s v="Electronics"/>
    <x v="0"/>
    <x v="0"/>
    <n v="1200"/>
    <n v="1000"/>
    <n v="200"/>
  </r>
  <r>
    <x v="19"/>
    <s v="Europe"/>
    <x v="1"/>
    <s v="Clothing"/>
    <x v="6"/>
    <x v="0"/>
    <n v="80"/>
    <n v="50"/>
    <n v="30"/>
  </r>
  <r>
    <x v="20"/>
    <s v="Asia"/>
    <x v="5"/>
    <s v="Electronics"/>
    <x v="2"/>
    <x v="1"/>
    <n v="2500"/>
    <n v="2300"/>
    <n v="200"/>
  </r>
  <r>
    <x v="21"/>
    <s v="North America"/>
    <x v="0"/>
    <s v="Home"/>
    <x v="7"/>
    <x v="0"/>
    <n v="1500"/>
    <n v="1300"/>
    <n v="200"/>
  </r>
  <r>
    <x v="22"/>
    <s v="Europe"/>
    <x v="3"/>
    <s v="Electronics"/>
    <x v="8"/>
    <x v="1"/>
    <n v="150"/>
    <n v="100"/>
    <n v="50"/>
  </r>
  <r>
    <x v="23"/>
    <s v="Asia"/>
    <x v="7"/>
    <s v="Clothing"/>
    <x v="9"/>
    <x v="0"/>
    <n v="120"/>
    <n v="90"/>
    <n v="30"/>
  </r>
  <r>
    <x v="24"/>
    <s v="North America"/>
    <x v="0"/>
    <s v="Electronics"/>
    <x v="0"/>
    <x v="1"/>
    <n v="1200"/>
    <n v="1100"/>
    <n v="100"/>
  </r>
  <r>
    <x v="25"/>
    <s v="Europe"/>
    <x v="6"/>
    <s v="Home"/>
    <x v="1"/>
    <x v="0"/>
    <n v="350"/>
    <n v="300"/>
    <n v="50"/>
  </r>
  <r>
    <x v="26"/>
    <s v="North America"/>
    <x v="4"/>
    <s v="Electronics"/>
    <x v="4"/>
    <x v="0"/>
    <n v="600"/>
    <n v="550"/>
    <n v="50"/>
  </r>
  <r>
    <x v="27"/>
    <s v="Asia"/>
    <x v="2"/>
    <s v="Clothing"/>
    <x v="3"/>
    <x v="1"/>
    <n v="25"/>
    <n v="20"/>
    <n v="5"/>
  </r>
  <r>
    <x v="28"/>
    <s v="Europe"/>
    <x v="1"/>
    <s v="Home"/>
    <x v="5"/>
    <x v="0"/>
    <n v="45"/>
    <n v="40"/>
    <n v="5"/>
  </r>
  <r>
    <x v="29"/>
    <s v="North America"/>
    <x v="0"/>
    <s v="Electronics"/>
    <x v="2"/>
    <x v="0"/>
    <n v="2500"/>
    <n v="2400"/>
    <n v="100"/>
  </r>
  <r>
    <x v="30"/>
    <s v="Asia"/>
    <x v="5"/>
    <s v="Electronics"/>
    <x v="8"/>
    <x v="1"/>
    <n v="150"/>
    <n v="140"/>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EE250D-A2B7-47D0-A54C-41D0C988F923}"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G3:H9" firstHeaderRow="1" firstDataRow="1" firstDataCol="1"/>
  <pivotFields count="1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measureFilter="1">
      <items count="11">
        <item x="5"/>
        <item x="8"/>
        <item x="9"/>
        <item x="6"/>
        <item x="2"/>
        <item x="1"/>
        <item x="0"/>
        <item x="7"/>
        <item x="4"/>
        <item x="3"/>
        <item t="default"/>
      </items>
    </pivotField>
    <pivotField showAll="0">
      <items count="3">
        <item x="1"/>
        <item x="0"/>
        <item t="default"/>
      </items>
    </pivotField>
    <pivotField showAll="0"/>
    <pivotField showAll="0"/>
    <pivotField showAll="0"/>
    <pivotField dataField="1" dragToRow="0" dragToCol="0" dragToPage="0" showAll="0" defaultSubtotal="0"/>
  </pivotFields>
  <rowFields count="1">
    <field x="4"/>
  </rowFields>
  <rowItems count="6">
    <i>
      <x v="1"/>
    </i>
    <i>
      <x v="2"/>
    </i>
    <i>
      <x v="3"/>
    </i>
    <i>
      <x v="5"/>
    </i>
    <i>
      <x v="9"/>
    </i>
    <i t="grand">
      <x/>
    </i>
  </rowItems>
  <colItems count="1">
    <i/>
  </colItems>
  <dataFields count="1">
    <dataField name="Sum of Profit_Margin" fld="9" baseField="0" baseItem="0" numFmtId="10"/>
  </dataFields>
  <formats count="7">
    <format dxfId="6">
      <pivotArea outline="0" collapsedLevelsAreSubtotals="1" fieldPosition="0"/>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5"/>
          </reference>
        </references>
      </pivotArea>
    </chartFormat>
    <chartFormat chart="0" format="5">
      <pivotArea type="data" outline="0" fieldPosition="0">
        <references count="2">
          <reference field="4294967294" count="1" selected="0">
            <x v="0"/>
          </reference>
          <reference field="4" count="1" selected="0">
            <x v="9"/>
          </reference>
        </references>
      </pivotArea>
    </chartFormat>
  </chartFormats>
  <pivotTableStyleInfo name="PivotStyleLight19" showRowHeaders="1" showColHeaders="1" showRowStripes="0" showColStripes="0" showLastColumn="1"/>
  <filters count="2">
    <filter fld="0" type="dateBetween" evalOrder="-1" id="21" name="Order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C26079-530A-4E03-9B27-B6DEE559F29F}"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D3:E7" firstHeaderRow="1" firstDataRow="1" firstDataCol="1"/>
  <pivotFields count="1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3">
        <item x="1"/>
        <item x="0"/>
        <item t="default"/>
      </items>
    </pivotField>
    <pivotField showAll="0"/>
    <pivotField showAll="0"/>
    <pivotField dataField="1" showAll="0"/>
    <pivotField dragToRow="0" dragToCol="0" dragToPage="0" showAll="0" defaultSubtotal="0"/>
  </pivotFields>
  <rowFields count="1">
    <field x="0"/>
  </rowFields>
  <rowItems count="4">
    <i>
      <x v="10"/>
    </i>
    <i>
      <x v="11"/>
    </i>
    <i>
      <x v="12"/>
    </i>
    <i t="grand">
      <x/>
    </i>
  </rowItems>
  <colItems count="1">
    <i/>
  </colItems>
  <dataFields count="1">
    <dataField name="Sum of Profit" fld="8" baseField="0" baseItem="0"/>
  </dataFields>
  <formats count="6">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12">
            <x v="1"/>
            <x v="2"/>
            <x v="3"/>
            <x v="4"/>
            <x v="5"/>
            <x v="6"/>
            <x v="7"/>
            <x v="8"/>
            <x v="9"/>
            <x v="10"/>
            <x v="11"/>
            <x v="12"/>
          </reference>
        </references>
      </pivotArea>
    </format>
    <format dxfId="8">
      <pivotArea dataOnly="0" labelOnly="1" grandRow="1" outline="0" fieldPosition="0"/>
    </format>
    <format dxfId="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0" name="Order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5BEFFB-4680-48AB-9ECE-74024D54F655}"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A3:B12" firstHeaderRow="1" firstDataRow="1" firstDataCol="1"/>
  <pivotFields count="10">
    <pivotField numFmtId="14" showAll="0">
      <items count="15">
        <item x="0"/>
        <item x="1"/>
        <item x="2"/>
        <item x="3"/>
        <item x="4"/>
        <item x="5"/>
        <item x="6"/>
        <item x="7"/>
        <item x="8"/>
        <item x="9"/>
        <item x="10"/>
        <item x="11"/>
        <item x="12"/>
        <item x="13"/>
        <item t="default"/>
      </items>
    </pivotField>
    <pivotField showAll="0"/>
    <pivotField axis="axisRow" showAll="0">
      <items count="9">
        <item x="4"/>
        <item x="7"/>
        <item x="6"/>
        <item x="3"/>
        <item x="2"/>
        <item x="5"/>
        <item x="1"/>
        <item x="0"/>
        <item t="default"/>
      </items>
    </pivotField>
    <pivotField showAll="0"/>
    <pivotField showAll="0"/>
    <pivotField showAll="0">
      <items count="3">
        <item x="1"/>
        <item x="0"/>
        <item t="default"/>
      </items>
    </pivotField>
    <pivotField dataField="1" showAll="0"/>
    <pivotField showAll="0"/>
    <pivotField showAll="0"/>
    <pivotField dragToRow="0" dragToCol="0" dragToPage="0" showAll="0" defaultSubtotal="0"/>
  </pivotFields>
  <rowFields count="1">
    <field x="2"/>
  </rowFields>
  <rowItems count="9">
    <i>
      <x/>
    </i>
    <i>
      <x v="1"/>
    </i>
    <i>
      <x v="2"/>
    </i>
    <i>
      <x v="3"/>
    </i>
    <i>
      <x v="4"/>
    </i>
    <i>
      <x v="5"/>
    </i>
    <i>
      <x v="6"/>
    </i>
    <i>
      <x v="7"/>
    </i>
    <i t="grand">
      <x/>
    </i>
  </rowItems>
  <colItems count="1">
    <i/>
  </colItems>
  <dataFields count="1">
    <dataField name="Sum of Revenue" fld="6" baseField="0" baseItem="0"/>
  </dataFields>
  <formats count="6">
    <format dxfId="18">
      <pivotArea type="all" dataOnly="0" outline="0" fieldPosition="0"/>
    </format>
    <format dxfId="17">
      <pivotArea outline="0" collapsedLevelsAreSubtotals="1" fieldPosition="0"/>
    </format>
    <format dxfId="16">
      <pivotArea field="2" type="button" dataOnly="0" labelOnly="1" outline="0" axis="axisRow" fieldPosition="0"/>
    </format>
    <format dxfId="15">
      <pivotArea dataOnly="0" labelOnly="1" fieldPosition="0">
        <references count="1">
          <reference field="2" count="0"/>
        </references>
      </pivotArea>
    </format>
    <format dxfId="14">
      <pivotArea dataOnly="0" labelOnly="1" grandRow="1" outline="0"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0" type="dateBetween" evalOrder="-1" id="20" name="Order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F5EBA740-9F36-47D8-9299-5DE2349FB3B8}" sourceName="SalesChannel">
  <pivotTables>
    <pivotTable tabId="2" name="PivotTable2"/>
    <pivotTable tabId="2" name="PivotTable3"/>
    <pivotTable tabId="2" name="PivotTable4"/>
  </pivotTables>
  <data>
    <tabular pivotCacheId="20830124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Channel" xr10:uid="{E0705FC3-7B55-4346-BE01-2EE4A8E5A039}" cache="Slicer_SalesChannel" caption="SalesChannel"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52AEAF-A8B0-468E-89C2-BDDDA2DAF76C}" name="Table2" displayName="Table2" ref="A1:I32" totalsRowShown="0" headerRowDxfId="29" dataDxfId="28">
  <autoFilter ref="A1:I32" xr:uid="{17153EA1-8D58-4EFD-9793-792A7CDB38A1}"/>
  <tableColumns count="9">
    <tableColumn id="1" xr3:uid="{675F4FCE-BC75-4A6F-A8CA-3BD148D5CFD4}" name="OrderDate" dataDxfId="27"/>
    <tableColumn id="2" xr3:uid="{83C3B8DE-7CD2-4D8C-A93D-F4AA5805F87F}" name="Region" dataDxfId="26"/>
    <tableColumn id="3" xr3:uid="{214B3CBF-CFBE-472C-BE7C-1A333E1C281C}" name="Country" dataDxfId="25"/>
    <tableColumn id="4" xr3:uid="{62E62811-9680-4138-A377-1916C47A3943}" name="ProductCategory" dataDxfId="24"/>
    <tableColumn id="5" xr3:uid="{9103BBEF-5F8B-4804-B2A7-C3E0191AFB8C}" name="SubProduct" dataDxfId="23"/>
    <tableColumn id="6" xr3:uid="{29B9009E-66EC-45B2-A5C4-E9A6D6D0D717}" name="SalesChannel" dataDxfId="22"/>
    <tableColumn id="7" xr3:uid="{A3BEA163-3F91-49EC-8CBC-34FAAEAD9807}" name="Revenue" dataDxfId="21"/>
    <tableColumn id="8" xr3:uid="{E0D872BD-B04E-45D8-990C-86A68D6108F9}" name="Cost" dataDxfId="20"/>
    <tableColumn id="9" xr3:uid="{7ACB85AB-5BD1-437F-8EC8-4B116F3B11B0}" name="Profit" data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DF78AA6F-6137-4950-AB65-8DD52FDF8381}" sourceName="OrderDate">
  <pivotTables>
    <pivotTable tabId="2" name="PivotTable4"/>
    <pivotTable tabId="2" name="PivotTable2"/>
    <pivotTable tabId="2" name="PivotTable3"/>
  </pivotTables>
  <state minimalRefreshVersion="6" lastRefreshVersion="6" pivotCacheId="208301240" filterType="dateBetween">
    <selection startDate="2023-10-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E8B0DD9A-17F2-453B-AFE3-569606B7B381}" cache="NativeTimeline_OrderDate" caption="OrderDate" level="1" selectionLevel="1" scrollPosition="2023-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837B-ABDF-4650-B8BC-8D88C7175821}">
  <dimension ref="A1:I32"/>
  <sheetViews>
    <sheetView tabSelected="1" workbookViewId="0">
      <selection activeCell="O17" sqref="O17"/>
    </sheetView>
  </sheetViews>
  <sheetFormatPr defaultRowHeight="15" x14ac:dyDescent="0.25"/>
  <cols>
    <col min="1" max="1" width="14.85546875" bestFit="1" customWidth="1"/>
    <col min="2" max="2" width="14" bestFit="1" customWidth="1"/>
    <col min="3" max="3" width="12.5703125" bestFit="1" customWidth="1"/>
    <col min="4" max="4" width="20.42578125" bestFit="1" customWidth="1"/>
    <col min="5" max="5" width="15.7109375" bestFit="1" customWidth="1"/>
    <col min="6" max="6" width="17.42578125" bestFit="1" customWidth="1"/>
    <col min="7" max="7" width="13.42578125" bestFit="1" customWidth="1"/>
    <col min="8" max="8" width="9.42578125" bestFit="1" customWidth="1"/>
    <col min="9" max="9" width="10.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s="2">
        <v>44941</v>
      </c>
      <c r="B2" s="1" t="s">
        <v>9</v>
      </c>
      <c r="C2" s="1" t="s">
        <v>10</v>
      </c>
      <c r="D2" s="1" t="s">
        <v>11</v>
      </c>
      <c r="E2" s="1" t="s">
        <v>12</v>
      </c>
      <c r="F2" s="1" t="s">
        <v>13</v>
      </c>
      <c r="G2" s="1">
        <v>1200</v>
      </c>
      <c r="H2" s="1">
        <v>800</v>
      </c>
      <c r="I2" s="1">
        <v>400</v>
      </c>
    </row>
    <row r="3" spans="1:9" x14ac:dyDescent="0.25">
      <c r="A3" s="2">
        <v>44946</v>
      </c>
      <c r="B3" s="1" t="s">
        <v>14</v>
      </c>
      <c r="C3" s="1" t="s">
        <v>15</v>
      </c>
      <c r="D3" s="1" t="s">
        <v>16</v>
      </c>
      <c r="E3" s="1" t="s">
        <v>17</v>
      </c>
      <c r="F3" s="1" t="s">
        <v>18</v>
      </c>
      <c r="G3" s="1">
        <v>350</v>
      </c>
      <c r="H3" s="1">
        <v>150</v>
      </c>
      <c r="I3" s="1">
        <v>200</v>
      </c>
    </row>
    <row r="4" spans="1:9" x14ac:dyDescent="0.25">
      <c r="A4" s="2">
        <v>44967</v>
      </c>
      <c r="B4" s="1" t="s">
        <v>19</v>
      </c>
      <c r="C4" s="1" t="s">
        <v>20</v>
      </c>
      <c r="D4" s="1" t="s">
        <v>11</v>
      </c>
      <c r="E4" s="1" t="s">
        <v>21</v>
      </c>
      <c r="F4" s="1" t="s">
        <v>13</v>
      </c>
      <c r="G4" s="1">
        <v>2500</v>
      </c>
      <c r="H4" s="1">
        <v>2000</v>
      </c>
      <c r="I4" s="1">
        <v>500</v>
      </c>
    </row>
    <row r="5" spans="1:9" x14ac:dyDescent="0.25">
      <c r="A5" s="2">
        <v>44982</v>
      </c>
      <c r="B5" s="1" t="s">
        <v>9</v>
      </c>
      <c r="C5" s="1" t="s">
        <v>10</v>
      </c>
      <c r="D5" s="1" t="s">
        <v>22</v>
      </c>
      <c r="E5" s="1" t="s">
        <v>23</v>
      </c>
      <c r="F5" s="1" t="s">
        <v>13</v>
      </c>
      <c r="G5" s="1">
        <v>25</v>
      </c>
      <c r="H5" s="1">
        <v>5</v>
      </c>
      <c r="I5" s="1">
        <v>20</v>
      </c>
    </row>
    <row r="6" spans="1:9" x14ac:dyDescent="0.25">
      <c r="A6" s="2">
        <v>44990</v>
      </c>
      <c r="B6" s="1" t="s">
        <v>14</v>
      </c>
      <c r="C6" s="1" t="s">
        <v>24</v>
      </c>
      <c r="D6" s="1" t="s">
        <v>11</v>
      </c>
      <c r="E6" s="1" t="s">
        <v>25</v>
      </c>
      <c r="F6" s="1" t="s">
        <v>18</v>
      </c>
      <c r="G6" s="1">
        <v>600</v>
      </c>
      <c r="H6" s="1">
        <v>400</v>
      </c>
      <c r="I6" s="1">
        <v>200</v>
      </c>
    </row>
    <row r="7" spans="1:9" x14ac:dyDescent="0.25">
      <c r="A7" s="2">
        <v>45000</v>
      </c>
      <c r="B7" s="1" t="s">
        <v>9</v>
      </c>
      <c r="C7" s="1" t="s">
        <v>26</v>
      </c>
      <c r="D7" s="1" t="s">
        <v>16</v>
      </c>
      <c r="E7" s="1" t="s">
        <v>27</v>
      </c>
      <c r="F7" s="1" t="s">
        <v>13</v>
      </c>
      <c r="G7" s="1">
        <v>45</v>
      </c>
      <c r="H7" s="1">
        <v>15</v>
      </c>
      <c r="I7" s="1">
        <v>30</v>
      </c>
    </row>
    <row r="8" spans="1:9" x14ac:dyDescent="0.25">
      <c r="A8" s="2">
        <v>45026</v>
      </c>
      <c r="B8" s="1" t="s">
        <v>19</v>
      </c>
      <c r="C8" s="1" t="s">
        <v>28</v>
      </c>
      <c r="D8" s="1" t="s">
        <v>11</v>
      </c>
      <c r="E8" s="1" t="s">
        <v>12</v>
      </c>
      <c r="F8" s="1" t="s">
        <v>13</v>
      </c>
      <c r="G8" s="1">
        <v>1200</v>
      </c>
      <c r="H8" s="1">
        <v>850</v>
      </c>
      <c r="I8" s="1">
        <v>350</v>
      </c>
    </row>
    <row r="9" spans="1:9" x14ac:dyDescent="0.25">
      <c r="A9" s="2">
        <v>45038</v>
      </c>
      <c r="B9" s="1" t="s">
        <v>14</v>
      </c>
      <c r="C9" s="1" t="s">
        <v>29</v>
      </c>
      <c r="D9" s="1" t="s">
        <v>22</v>
      </c>
      <c r="E9" s="1" t="s">
        <v>30</v>
      </c>
      <c r="F9" s="1" t="s">
        <v>18</v>
      </c>
      <c r="G9" s="1">
        <v>80</v>
      </c>
      <c r="H9" s="1">
        <v>30</v>
      </c>
      <c r="I9" s="1">
        <v>50</v>
      </c>
    </row>
    <row r="10" spans="1:9" x14ac:dyDescent="0.25">
      <c r="A10" s="2">
        <v>45051</v>
      </c>
      <c r="B10" s="1" t="s">
        <v>9</v>
      </c>
      <c r="C10" s="1" t="s">
        <v>10</v>
      </c>
      <c r="D10" s="1" t="s">
        <v>11</v>
      </c>
      <c r="E10" s="1" t="s">
        <v>21</v>
      </c>
      <c r="F10" s="1" t="s">
        <v>18</v>
      </c>
      <c r="G10" s="1">
        <v>2500</v>
      </c>
      <c r="H10" s="1">
        <v>2100</v>
      </c>
      <c r="I10" s="1">
        <v>400</v>
      </c>
    </row>
    <row r="11" spans="1:9" x14ac:dyDescent="0.25">
      <c r="A11" s="2">
        <v>45064</v>
      </c>
      <c r="B11" s="1" t="s">
        <v>19</v>
      </c>
      <c r="C11" s="1" t="s">
        <v>20</v>
      </c>
      <c r="D11" s="1" t="s">
        <v>16</v>
      </c>
      <c r="E11" s="1" t="s">
        <v>31</v>
      </c>
      <c r="F11" s="1" t="s">
        <v>13</v>
      </c>
      <c r="G11" s="1">
        <v>1500</v>
      </c>
      <c r="H11" s="1">
        <v>900</v>
      </c>
      <c r="I11" s="1">
        <v>600</v>
      </c>
    </row>
    <row r="12" spans="1:9" x14ac:dyDescent="0.25">
      <c r="A12" s="2">
        <v>45089</v>
      </c>
      <c r="B12" s="1" t="s">
        <v>14</v>
      </c>
      <c r="C12" s="1" t="s">
        <v>15</v>
      </c>
      <c r="D12" s="1" t="s">
        <v>11</v>
      </c>
      <c r="E12" s="1" t="s">
        <v>32</v>
      </c>
      <c r="F12" s="1" t="s">
        <v>13</v>
      </c>
      <c r="G12" s="1">
        <v>150</v>
      </c>
      <c r="H12" s="1">
        <v>50</v>
      </c>
      <c r="I12" s="1">
        <v>100</v>
      </c>
    </row>
    <row r="13" spans="1:9" x14ac:dyDescent="0.25">
      <c r="A13" s="2">
        <v>45107</v>
      </c>
      <c r="B13" s="1" t="s">
        <v>9</v>
      </c>
      <c r="C13" s="1" t="s">
        <v>10</v>
      </c>
      <c r="D13" s="1" t="s">
        <v>22</v>
      </c>
      <c r="E13" s="1" t="s">
        <v>33</v>
      </c>
      <c r="F13" s="1" t="s">
        <v>18</v>
      </c>
      <c r="G13" s="1">
        <v>120</v>
      </c>
      <c r="H13" s="1">
        <v>60</v>
      </c>
      <c r="I13" s="1">
        <v>60</v>
      </c>
    </row>
    <row r="14" spans="1:9" x14ac:dyDescent="0.25">
      <c r="A14" s="2">
        <v>45112</v>
      </c>
      <c r="B14" s="1" t="s">
        <v>19</v>
      </c>
      <c r="C14" s="1" t="s">
        <v>34</v>
      </c>
      <c r="D14" s="1" t="s">
        <v>11</v>
      </c>
      <c r="E14" s="1" t="s">
        <v>12</v>
      </c>
      <c r="F14" s="1" t="s">
        <v>13</v>
      </c>
      <c r="G14" s="1">
        <v>1200</v>
      </c>
      <c r="H14" s="1">
        <v>800</v>
      </c>
      <c r="I14" s="1">
        <v>400</v>
      </c>
    </row>
    <row r="15" spans="1:9" x14ac:dyDescent="0.25">
      <c r="A15" s="2">
        <v>45127</v>
      </c>
      <c r="B15" s="1" t="s">
        <v>14</v>
      </c>
      <c r="C15" s="1" t="s">
        <v>24</v>
      </c>
      <c r="D15" s="1" t="s">
        <v>16</v>
      </c>
      <c r="E15" s="1" t="s">
        <v>17</v>
      </c>
      <c r="F15" s="1" t="s">
        <v>13</v>
      </c>
      <c r="G15" s="1">
        <v>350</v>
      </c>
      <c r="H15" s="1">
        <v>160</v>
      </c>
      <c r="I15" s="1">
        <v>190</v>
      </c>
    </row>
    <row r="16" spans="1:9" x14ac:dyDescent="0.25">
      <c r="A16" s="2">
        <v>45153</v>
      </c>
      <c r="B16" s="1" t="s">
        <v>9</v>
      </c>
      <c r="C16" s="1" t="s">
        <v>10</v>
      </c>
      <c r="D16" s="1" t="s">
        <v>11</v>
      </c>
      <c r="E16" s="1" t="s">
        <v>21</v>
      </c>
      <c r="F16" s="1" t="s">
        <v>13</v>
      </c>
      <c r="G16" s="1">
        <v>2500</v>
      </c>
      <c r="H16" s="1">
        <v>2000</v>
      </c>
      <c r="I16" s="1">
        <v>500</v>
      </c>
    </row>
    <row r="17" spans="1:9" x14ac:dyDescent="0.25">
      <c r="A17" s="2">
        <v>45163</v>
      </c>
      <c r="B17" s="1" t="s">
        <v>9</v>
      </c>
      <c r="C17" s="1" t="s">
        <v>26</v>
      </c>
      <c r="D17" s="1" t="s">
        <v>22</v>
      </c>
      <c r="E17" s="1" t="s">
        <v>23</v>
      </c>
      <c r="F17" s="1" t="s">
        <v>18</v>
      </c>
      <c r="G17" s="1">
        <v>25</v>
      </c>
      <c r="H17" s="1">
        <v>8</v>
      </c>
      <c r="I17" s="1">
        <v>17</v>
      </c>
    </row>
    <row r="18" spans="1:9" x14ac:dyDescent="0.25">
      <c r="A18" s="2">
        <v>45170</v>
      </c>
      <c r="B18" s="1" t="s">
        <v>14</v>
      </c>
      <c r="C18" s="1" t="s">
        <v>29</v>
      </c>
      <c r="D18" s="1" t="s">
        <v>11</v>
      </c>
      <c r="E18" s="1" t="s">
        <v>25</v>
      </c>
      <c r="F18" s="1" t="s">
        <v>13</v>
      </c>
      <c r="G18" s="1">
        <v>600</v>
      </c>
      <c r="H18" s="1">
        <v>420</v>
      </c>
      <c r="I18" s="1">
        <v>180</v>
      </c>
    </row>
    <row r="19" spans="1:9" x14ac:dyDescent="0.25">
      <c r="A19" s="2">
        <v>45179</v>
      </c>
      <c r="B19" s="1" t="s">
        <v>19</v>
      </c>
      <c r="C19" s="1" t="s">
        <v>20</v>
      </c>
      <c r="D19" s="1" t="s">
        <v>16</v>
      </c>
      <c r="E19" s="1" t="s">
        <v>27</v>
      </c>
      <c r="F19" s="1" t="s">
        <v>18</v>
      </c>
      <c r="G19" s="1">
        <v>45</v>
      </c>
      <c r="H19" s="1">
        <v>20</v>
      </c>
      <c r="I19" s="1">
        <v>25</v>
      </c>
    </row>
    <row r="20" spans="1:9" x14ac:dyDescent="0.25">
      <c r="A20" s="2">
        <v>45204</v>
      </c>
      <c r="B20" s="1" t="s">
        <v>9</v>
      </c>
      <c r="C20" s="1" t="s">
        <v>10</v>
      </c>
      <c r="D20" s="1" t="s">
        <v>11</v>
      </c>
      <c r="E20" s="1" t="s">
        <v>12</v>
      </c>
      <c r="F20" s="1" t="s">
        <v>13</v>
      </c>
      <c r="G20" s="1">
        <v>1200</v>
      </c>
      <c r="H20" s="1">
        <v>1000</v>
      </c>
      <c r="I20" s="1">
        <v>200</v>
      </c>
    </row>
    <row r="21" spans="1:9" x14ac:dyDescent="0.25">
      <c r="A21" s="2">
        <v>45214</v>
      </c>
      <c r="B21" s="1" t="s">
        <v>14</v>
      </c>
      <c r="C21" s="1" t="s">
        <v>15</v>
      </c>
      <c r="D21" s="1" t="s">
        <v>22</v>
      </c>
      <c r="E21" s="1" t="s">
        <v>30</v>
      </c>
      <c r="F21" s="1" t="s">
        <v>13</v>
      </c>
      <c r="G21" s="1">
        <v>80</v>
      </c>
      <c r="H21" s="1">
        <v>50</v>
      </c>
      <c r="I21" s="1">
        <v>30</v>
      </c>
    </row>
    <row r="22" spans="1:9" x14ac:dyDescent="0.25">
      <c r="A22" s="2">
        <v>45224</v>
      </c>
      <c r="B22" s="1" t="s">
        <v>19</v>
      </c>
      <c r="C22" s="1" t="s">
        <v>28</v>
      </c>
      <c r="D22" s="1" t="s">
        <v>11</v>
      </c>
      <c r="E22" s="1" t="s">
        <v>21</v>
      </c>
      <c r="F22" s="1" t="s">
        <v>18</v>
      </c>
      <c r="G22" s="1">
        <v>2500</v>
      </c>
      <c r="H22" s="1">
        <v>2300</v>
      </c>
      <c r="I22" s="1">
        <v>200</v>
      </c>
    </row>
    <row r="23" spans="1:9" x14ac:dyDescent="0.25">
      <c r="A23" s="2">
        <v>45231</v>
      </c>
      <c r="B23" s="1" t="s">
        <v>9</v>
      </c>
      <c r="C23" s="1" t="s">
        <v>10</v>
      </c>
      <c r="D23" s="1" t="s">
        <v>16</v>
      </c>
      <c r="E23" s="1" t="s">
        <v>31</v>
      </c>
      <c r="F23" s="1" t="s">
        <v>13</v>
      </c>
      <c r="G23" s="1">
        <v>1500</v>
      </c>
      <c r="H23" s="1">
        <v>1300</v>
      </c>
      <c r="I23" s="1">
        <v>200</v>
      </c>
    </row>
    <row r="24" spans="1:9" x14ac:dyDescent="0.25">
      <c r="A24" s="2">
        <v>45240</v>
      </c>
      <c r="B24" s="1" t="s">
        <v>14</v>
      </c>
      <c r="C24" s="1" t="s">
        <v>24</v>
      </c>
      <c r="D24" s="1" t="s">
        <v>11</v>
      </c>
      <c r="E24" s="1" t="s">
        <v>32</v>
      </c>
      <c r="F24" s="1" t="s">
        <v>18</v>
      </c>
      <c r="G24" s="1">
        <v>150</v>
      </c>
      <c r="H24" s="1">
        <v>100</v>
      </c>
      <c r="I24" s="1">
        <v>50</v>
      </c>
    </row>
    <row r="25" spans="1:9" x14ac:dyDescent="0.25">
      <c r="A25" s="2">
        <v>45250</v>
      </c>
      <c r="B25" s="1" t="s">
        <v>19</v>
      </c>
      <c r="C25" s="1" t="s">
        <v>34</v>
      </c>
      <c r="D25" s="1" t="s">
        <v>22</v>
      </c>
      <c r="E25" s="1" t="s">
        <v>33</v>
      </c>
      <c r="F25" s="1" t="s">
        <v>13</v>
      </c>
      <c r="G25" s="1">
        <v>120</v>
      </c>
      <c r="H25" s="1">
        <v>90</v>
      </c>
      <c r="I25" s="1">
        <v>30</v>
      </c>
    </row>
    <row r="26" spans="1:9" x14ac:dyDescent="0.25">
      <c r="A26" s="2">
        <v>45261</v>
      </c>
      <c r="B26" s="1" t="s">
        <v>9</v>
      </c>
      <c r="C26" s="1" t="s">
        <v>10</v>
      </c>
      <c r="D26" s="1" t="s">
        <v>11</v>
      </c>
      <c r="E26" s="1" t="s">
        <v>12</v>
      </c>
      <c r="F26" s="1" t="s">
        <v>18</v>
      </c>
      <c r="G26" s="1">
        <v>1200</v>
      </c>
      <c r="H26" s="1">
        <v>1100</v>
      </c>
      <c r="I26" s="1">
        <v>100</v>
      </c>
    </row>
    <row r="27" spans="1:9" x14ac:dyDescent="0.25">
      <c r="A27" s="2">
        <v>45265</v>
      </c>
      <c r="B27" s="1" t="s">
        <v>14</v>
      </c>
      <c r="C27" s="1" t="s">
        <v>29</v>
      </c>
      <c r="D27" s="1" t="s">
        <v>16</v>
      </c>
      <c r="E27" s="1" t="s">
        <v>17</v>
      </c>
      <c r="F27" s="1" t="s">
        <v>13</v>
      </c>
      <c r="G27" s="1">
        <v>350</v>
      </c>
      <c r="H27" s="1">
        <v>300</v>
      </c>
      <c r="I27" s="1">
        <v>50</v>
      </c>
    </row>
    <row r="28" spans="1:9" x14ac:dyDescent="0.25">
      <c r="A28" s="2">
        <v>45270</v>
      </c>
      <c r="B28" s="1" t="s">
        <v>9</v>
      </c>
      <c r="C28" s="1" t="s">
        <v>26</v>
      </c>
      <c r="D28" s="1" t="s">
        <v>11</v>
      </c>
      <c r="E28" s="1" t="s">
        <v>25</v>
      </c>
      <c r="F28" s="1" t="s">
        <v>13</v>
      </c>
      <c r="G28" s="1">
        <v>600</v>
      </c>
      <c r="H28" s="1">
        <v>550</v>
      </c>
      <c r="I28" s="1">
        <v>50</v>
      </c>
    </row>
    <row r="29" spans="1:9" x14ac:dyDescent="0.25">
      <c r="A29" s="2">
        <v>45275</v>
      </c>
      <c r="B29" s="1" t="s">
        <v>19</v>
      </c>
      <c r="C29" s="1" t="s">
        <v>20</v>
      </c>
      <c r="D29" s="1" t="s">
        <v>22</v>
      </c>
      <c r="E29" s="1" t="s">
        <v>23</v>
      </c>
      <c r="F29" s="1" t="s">
        <v>18</v>
      </c>
      <c r="G29" s="1">
        <v>25</v>
      </c>
      <c r="H29" s="1">
        <v>20</v>
      </c>
      <c r="I29" s="1">
        <v>5</v>
      </c>
    </row>
    <row r="30" spans="1:9" x14ac:dyDescent="0.25">
      <c r="A30" s="2">
        <v>45280</v>
      </c>
      <c r="B30" s="1" t="s">
        <v>14</v>
      </c>
      <c r="C30" s="1" t="s">
        <v>15</v>
      </c>
      <c r="D30" s="1" t="s">
        <v>16</v>
      </c>
      <c r="E30" s="1" t="s">
        <v>27</v>
      </c>
      <c r="F30" s="1" t="s">
        <v>13</v>
      </c>
      <c r="G30" s="1">
        <v>45</v>
      </c>
      <c r="H30" s="1">
        <v>40</v>
      </c>
      <c r="I30" s="1">
        <v>5</v>
      </c>
    </row>
    <row r="31" spans="1:9" x14ac:dyDescent="0.25">
      <c r="A31" s="2">
        <v>45284</v>
      </c>
      <c r="B31" s="1" t="s">
        <v>9</v>
      </c>
      <c r="C31" s="1" t="s">
        <v>10</v>
      </c>
      <c r="D31" s="1" t="s">
        <v>11</v>
      </c>
      <c r="E31" s="1" t="s">
        <v>21</v>
      </c>
      <c r="F31" s="1" t="s">
        <v>13</v>
      </c>
      <c r="G31" s="1">
        <v>2500</v>
      </c>
      <c r="H31" s="1">
        <v>2400</v>
      </c>
      <c r="I31" s="1">
        <v>100</v>
      </c>
    </row>
    <row r="32" spans="1:9" x14ac:dyDescent="0.25">
      <c r="A32" s="2">
        <v>45288</v>
      </c>
      <c r="B32" s="1" t="s">
        <v>19</v>
      </c>
      <c r="C32" s="1" t="s">
        <v>28</v>
      </c>
      <c r="D32" s="1" t="s">
        <v>11</v>
      </c>
      <c r="E32" s="1" t="s">
        <v>32</v>
      </c>
      <c r="F32" s="1" t="s">
        <v>18</v>
      </c>
      <c r="G32" s="1">
        <v>150</v>
      </c>
      <c r="H32" s="1">
        <v>140</v>
      </c>
      <c r="I32" s="1">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CE86-6FD7-4782-B97A-DB18836C8021}">
  <dimension ref="A3:I47"/>
  <sheetViews>
    <sheetView showGridLines="0" workbookViewId="0">
      <selection activeCell="Q14" sqref="Q14"/>
    </sheetView>
  </sheetViews>
  <sheetFormatPr defaultRowHeight="15" x14ac:dyDescent="0.25"/>
  <cols>
    <col min="1" max="1" width="13.140625" style="3" bestFit="1" customWidth="1"/>
    <col min="2" max="2" width="15.5703125" style="3" bestFit="1" customWidth="1"/>
    <col min="3" max="3" width="9.140625" style="3"/>
    <col min="4" max="4" width="13.140625" style="3" bestFit="1" customWidth="1"/>
    <col min="5" max="5" width="12.5703125" style="3" bestFit="1" customWidth="1"/>
    <col min="6" max="6" width="9.140625" style="3"/>
    <col min="7" max="7" width="13.140625" style="3" bestFit="1" customWidth="1"/>
    <col min="8" max="8" width="20.140625" style="3" bestFit="1" customWidth="1"/>
    <col min="9" max="16384" width="9.140625" style="3"/>
  </cols>
  <sheetData>
    <row r="3" spans="1:9" x14ac:dyDescent="0.25">
      <c r="A3" s="4" t="s">
        <v>35</v>
      </c>
      <c r="B3" s="5" t="s">
        <v>37</v>
      </c>
      <c r="C3"/>
      <c r="D3" s="4" t="s">
        <v>35</v>
      </c>
      <c r="E3" s="5" t="s">
        <v>41</v>
      </c>
      <c r="F3"/>
      <c r="G3" s="4" t="s">
        <v>35</v>
      </c>
      <c r="H3" s="5" t="s">
        <v>42</v>
      </c>
      <c r="I3"/>
    </row>
    <row r="4" spans="1:9" x14ac:dyDescent="0.25">
      <c r="A4" s="6" t="s">
        <v>26</v>
      </c>
      <c r="B4" s="7">
        <v>600</v>
      </c>
      <c r="C4"/>
      <c r="D4" s="8" t="s">
        <v>38</v>
      </c>
      <c r="E4" s="7">
        <v>430</v>
      </c>
      <c r="F4"/>
      <c r="G4" s="6" t="s">
        <v>32</v>
      </c>
      <c r="H4" s="9">
        <v>0.2</v>
      </c>
      <c r="I4"/>
    </row>
    <row r="5" spans="1:9" x14ac:dyDescent="0.25">
      <c r="A5" s="6" t="s">
        <v>34</v>
      </c>
      <c r="B5" s="7">
        <v>120</v>
      </c>
      <c r="C5"/>
      <c r="D5" s="8" t="s">
        <v>39</v>
      </c>
      <c r="E5" s="7">
        <v>280</v>
      </c>
      <c r="F5"/>
      <c r="G5" s="6" t="s">
        <v>33</v>
      </c>
      <c r="H5" s="9">
        <v>0.25</v>
      </c>
      <c r="I5"/>
    </row>
    <row r="6" spans="1:9" x14ac:dyDescent="0.25">
      <c r="A6" s="6" t="s">
        <v>29</v>
      </c>
      <c r="B6" s="7">
        <v>350</v>
      </c>
      <c r="C6"/>
      <c r="D6" s="8" t="s">
        <v>40</v>
      </c>
      <c r="E6" s="7">
        <v>320</v>
      </c>
      <c r="F6"/>
      <c r="G6" s="6" t="s">
        <v>30</v>
      </c>
      <c r="H6" s="9">
        <v>0.375</v>
      </c>
      <c r="I6"/>
    </row>
    <row r="7" spans="1:9" x14ac:dyDescent="0.25">
      <c r="A7" s="6" t="s">
        <v>24</v>
      </c>
      <c r="B7" s="7">
        <v>150</v>
      </c>
      <c r="C7"/>
      <c r="D7" s="8" t="s">
        <v>36</v>
      </c>
      <c r="E7" s="7">
        <v>1030</v>
      </c>
      <c r="F7"/>
      <c r="G7" s="6" t="s">
        <v>17</v>
      </c>
      <c r="H7" s="9">
        <v>0.14285714285714285</v>
      </c>
      <c r="I7"/>
    </row>
    <row r="8" spans="1:9" x14ac:dyDescent="0.25">
      <c r="A8" s="6" t="s">
        <v>20</v>
      </c>
      <c r="B8" s="7">
        <v>25</v>
      </c>
      <c r="C8"/>
      <c r="D8"/>
      <c r="E8"/>
      <c r="F8"/>
      <c r="G8" s="6" t="s">
        <v>23</v>
      </c>
      <c r="H8" s="9">
        <v>0.2</v>
      </c>
      <c r="I8"/>
    </row>
    <row r="9" spans="1:9" x14ac:dyDescent="0.25">
      <c r="A9" s="6" t="s">
        <v>28</v>
      </c>
      <c r="B9" s="7">
        <v>2650</v>
      </c>
      <c r="C9"/>
      <c r="D9"/>
      <c r="E9"/>
      <c r="F9"/>
      <c r="G9" s="6" t="s">
        <v>36</v>
      </c>
      <c r="H9" s="9">
        <v>0.2</v>
      </c>
      <c r="I9"/>
    </row>
    <row r="10" spans="1:9" x14ac:dyDescent="0.25">
      <c r="A10" s="6" t="s">
        <v>15</v>
      </c>
      <c r="B10" s="7">
        <v>125</v>
      </c>
      <c r="C10"/>
      <c r="D10"/>
      <c r="E10"/>
      <c r="F10"/>
      <c r="G10"/>
      <c r="H10"/>
      <c r="I10"/>
    </row>
    <row r="11" spans="1:9" x14ac:dyDescent="0.25">
      <c r="A11" s="6" t="s">
        <v>10</v>
      </c>
      <c r="B11" s="7">
        <v>6400</v>
      </c>
      <c r="C11"/>
      <c r="D11"/>
      <c r="E11"/>
      <c r="F11"/>
      <c r="G11"/>
      <c r="H11"/>
      <c r="I11"/>
    </row>
    <row r="12" spans="1:9" x14ac:dyDescent="0.25">
      <c r="A12" s="6" t="s">
        <v>36</v>
      </c>
      <c r="B12" s="7">
        <v>10420</v>
      </c>
      <c r="C12"/>
      <c r="D12"/>
      <c r="E12"/>
      <c r="F12"/>
      <c r="G12"/>
      <c r="H12"/>
      <c r="I12"/>
    </row>
    <row r="13" spans="1:9" x14ac:dyDescent="0.25">
      <c r="A13"/>
      <c r="B13"/>
      <c r="C13"/>
      <c r="D13"/>
      <c r="E13"/>
      <c r="F13"/>
      <c r="G13"/>
      <c r="H13"/>
      <c r="I13"/>
    </row>
    <row r="14" spans="1:9" x14ac:dyDescent="0.25">
      <c r="A14"/>
      <c r="B14"/>
      <c r="C14"/>
      <c r="D14"/>
      <c r="E14"/>
      <c r="F14"/>
      <c r="G14"/>
      <c r="H14"/>
      <c r="I14"/>
    </row>
    <row r="15" spans="1:9" x14ac:dyDescent="0.25">
      <c r="A15"/>
      <c r="B15"/>
      <c r="C15"/>
      <c r="D15"/>
      <c r="E15"/>
      <c r="F15"/>
      <c r="G15"/>
      <c r="H15"/>
      <c r="I15"/>
    </row>
    <row r="16" spans="1:9" x14ac:dyDescent="0.25">
      <c r="A16"/>
      <c r="B16"/>
      <c r="C16"/>
      <c r="D16"/>
      <c r="E16"/>
      <c r="F16"/>
      <c r="G16"/>
      <c r="H16"/>
      <c r="I16"/>
    </row>
    <row r="17" spans="1:9" x14ac:dyDescent="0.25">
      <c r="A17"/>
      <c r="B17"/>
      <c r="C17"/>
      <c r="D17"/>
      <c r="E17"/>
      <c r="F17"/>
      <c r="G17"/>
      <c r="H17"/>
      <c r="I17"/>
    </row>
    <row r="18" spans="1:9" x14ac:dyDescent="0.25">
      <c r="A18"/>
      <c r="B18"/>
      <c r="C18"/>
      <c r="D18"/>
      <c r="E18"/>
      <c r="F18"/>
      <c r="G18"/>
      <c r="H18"/>
      <c r="I18"/>
    </row>
    <row r="19" spans="1:9" x14ac:dyDescent="0.25">
      <c r="A19"/>
      <c r="B19"/>
      <c r="C19"/>
      <c r="D19"/>
      <c r="E19"/>
      <c r="F19"/>
      <c r="G19"/>
      <c r="H19"/>
      <c r="I19"/>
    </row>
    <row r="20" spans="1:9" x14ac:dyDescent="0.25">
      <c r="A20"/>
      <c r="B20"/>
      <c r="C20"/>
      <c r="D20"/>
      <c r="E20"/>
      <c r="F20"/>
      <c r="G20"/>
      <c r="H20"/>
      <c r="I20"/>
    </row>
    <row r="21" spans="1:9" x14ac:dyDescent="0.25">
      <c r="D21"/>
    </row>
    <row r="22" spans="1:9" x14ac:dyDescent="0.25">
      <c r="D22"/>
    </row>
    <row r="23" spans="1:9" x14ac:dyDescent="0.25">
      <c r="D23"/>
    </row>
    <row r="24" spans="1:9" x14ac:dyDescent="0.25">
      <c r="D24"/>
    </row>
    <row r="25" spans="1:9" x14ac:dyDescent="0.25">
      <c r="D25"/>
    </row>
    <row r="26" spans="1:9" x14ac:dyDescent="0.25">
      <c r="D26"/>
    </row>
    <row r="27" spans="1:9" x14ac:dyDescent="0.25">
      <c r="D27"/>
    </row>
    <row r="28" spans="1:9" x14ac:dyDescent="0.25">
      <c r="D28"/>
    </row>
    <row r="29" spans="1:9" x14ac:dyDescent="0.25">
      <c r="D29"/>
    </row>
    <row r="30" spans="1:9" x14ac:dyDescent="0.25">
      <c r="D30"/>
    </row>
    <row r="31" spans="1:9" x14ac:dyDescent="0.25">
      <c r="D31"/>
    </row>
    <row r="32" spans="1:9" x14ac:dyDescent="0.25">
      <c r="D32"/>
    </row>
    <row r="33" spans="4:4" x14ac:dyDescent="0.25">
      <c r="D33"/>
    </row>
    <row r="34" spans="4:4" x14ac:dyDescent="0.25">
      <c r="D34"/>
    </row>
    <row r="35" spans="4:4" x14ac:dyDescent="0.25">
      <c r="D35"/>
    </row>
    <row r="36" spans="4:4" x14ac:dyDescent="0.25">
      <c r="D36"/>
    </row>
    <row r="37" spans="4:4" x14ac:dyDescent="0.25">
      <c r="D37"/>
    </row>
    <row r="38" spans="4:4" x14ac:dyDescent="0.25">
      <c r="D38"/>
    </row>
    <row r="39" spans="4:4" x14ac:dyDescent="0.25">
      <c r="D39"/>
    </row>
    <row r="40" spans="4:4" x14ac:dyDescent="0.25">
      <c r="D40"/>
    </row>
    <row r="41" spans="4:4" x14ac:dyDescent="0.25">
      <c r="D41"/>
    </row>
    <row r="42" spans="4:4" x14ac:dyDescent="0.25">
      <c r="D42"/>
    </row>
    <row r="43" spans="4:4" x14ac:dyDescent="0.25">
      <c r="D43"/>
    </row>
    <row r="44" spans="4:4" x14ac:dyDescent="0.25">
      <c r="D44"/>
    </row>
    <row r="45" spans="4:4" x14ac:dyDescent="0.25">
      <c r="D45"/>
    </row>
    <row r="46" spans="4:4" x14ac:dyDescent="0.25">
      <c r="D46"/>
    </row>
    <row r="47" spans="4:4" x14ac:dyDescent="0.25">
      <c r="D47"/>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Anudip</cp:lastModifiedBy>
  <dcterms:created xsi:type="dcterms:W3CDTF">2025-12-03T05:20:01Z</dcterms:created>
  <dcterms:modified xsi:type="dcterms:W3CDTF">2025-12-31T11:43:11Z</dcterms:modified>
</cp:coreProperties>
</file>